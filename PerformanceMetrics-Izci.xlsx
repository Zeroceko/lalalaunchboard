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wth" sheetId="1" r:id="rId4"/>
    <sheet state="visible" name="NOTES" sheetId="2" r:id="rId5"/>
    <sheet state="visible" name="Sheet1" sheetId="3" r:id="rId6"/>
  </sheets>
  <definedNames/>
  <calcPr/>
</workbook>
</file>

<file path=xl/sharedStrings.xml><?xml version="1.0" encoding="utf-8"?>
<sst xmlns="http://schemas.openxmlformats.org/spreadsheetml/2006/main" count="46" uniqueCount="28">
  <si>
    <t>Product Name:</t>
  </si>
  <si>
    <t>IZCI</t>
  </si>
  <si>
    <t>input= 
yellow</t>
  </si>
  <si>
    <t>Awareness Metric</t>
  </si>
  <si>
    <t xml:space="preserve">  primary</t>
  </si>
  <si>
    <t>reklam/ spamlerin görülme sayısı</t>
  </si>
  <si>
    <t xml:space="preserve">  secondary</t>
  </si>
  <si>
    <t>Acquisiton Metric</t>
  </si>
  <si>
    <t>izci download sayısı</t>
  </si>
  <si>
    <t>Activation Metric</t>
  </si>
  <si>
    <t>içerik görüntüleyen kişi sayısı</t>
  </si>
  <si>
    <t>Retention Metric</t>
  </si>
  <si>
    <t>2 den fazla kere uygulamaya giren kişi sayısı</t>
  </si>
  <si>
    <t>Referral Metric</t>
  </si>
  <si>
    <t>facebook ve email share etmiş kişi sayısı</t>
  </si>
  <si>
    <t>Revenue Metric</t>
  </si>
  <si>
    <t>-</t>
  </si>
  <si>
    <t>Revenue Probability</t>
  </si>
  <si>
    <t>Total 
Pipeline</t>
  </si>
  <si>
    <t>weekly
growth</t>
  </si>
  <si>
    <t>date</t>
  </si>
  <si>
    <t>week 
number</t>
  </si>
  <si>
    <t>aware</t>
  </si>
  <si>
    <t>acquired</t>
  </si>
  <si>
    <t>activated</t>
  </si>
  <si>
    <t>retained</t>
  </si>
  <si>
    <t>referred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</si>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</sst>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%"/>
    <numFmt numFmtId="165" formatCode="[$-41F]d\ mmmm"/>
    <numFmt numFmtId="166" formatCode="_-* #,##0.0\ _T_L_-;\-* #,##0.0\ _T_L_-;_-* &quot;-&quot;??\ _T_L_-;_-@"/>
  </numFmts>
  <fonts count="6">
    <font>
      <sz val="11.0"/>
      <color rgb="FF000000"/>
      <name val="Calibri"/>
    </font>
    <font>
      <b/>
      <sz val="18.0"/>
      <color rgb="FF000000"/>
      <name val="Calibri"/>
    </font>
    <font>
      <b/>
      <sz val="18.0"/>
      <color rgb="FFFF0000"/>
      <name val="Calibri"/>
    </font>
    <font>
      <b/>
      <sz val="11.0"/>
      <color rgb="FF000000"/>
      <name val="Calibri"/>
    </font>
    <font>
      <sz val="11.0"/>
      <color rgb="FF000000"/>
      <name val="Arial"/>
    </font>
    <font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0" numFmtId="0" xfId="0" applyAlignment="1" applyBorder="1" applyFont="1">
      <alignment shrinkToFit="0" wrapText="0"/>
    </xf>
    <xf borderId="1" fillId="2" fontId="2" numFmtId="0" xfId="0" applyAlignment="1" applyBorder="1" applyFont="1">
      <alignment shrinkToFit="0" wrapText="0"/>
    </xf>
    <xf borderId="1" fillId="3" fontId="3" numFmtId="0" xfId="0" applyAlignment="1" applyBorder="1" applyFill="1" applyFont="1">
      <alignment shrinkToFit="0" wrapText="1"/>
    </xf>
    <xf borderId="0" fillId="0" fontId="0" numFmtId="0" xfId="0" applyAlignment="1" applyFont="1">
      <alignment shrinkToFit="0" wrapText="0"/>
    </xf>
    <xf borderId="1" fillId="2" fontId="3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1" fillId="3" fontId="0" numFmtId="0" xfId="0" applyAlignment="1" applyBorder="1" applyFont="1">
      <alignment shrinkToFit="0" wrapText="0"/>
    </xf>
    <xf borderId="1" fillId="4" fontId="0" numFmtId="0" xfId="0" applyAlignment="1" applyBorder="1" applyFill="1" applyFont="1">
      <alignment shrinkToFit="0" wrapText="0"/>
    </xf>
    <xf borderId="0" fillId="0" fontId="3" numFmtId="0" xfId="0" applyAlignment="1" applyFont="1">
      <alignment shrinkToFit="0" wrapText="0"/>
    </xf>
    <xf borderId="1" fillId="3" fontId="4" numFmtId="0" xfId="0" applyAlignment="1" applyBorder="1" applyFont="1">
      <alignment readingOrder="0" shrinkToFit="0" wrapText="0"/>
    </xf>
    <xf borderId="0" fillId="0" fontId="3" numFmtId="0" xfId="0" applyAlignment="1" applyFont="1">
      <alignment horizontal="right" shrinkToFit="0" wrapText="1"/>
    </xf>
    <xf borderId="1" fillId="3" fontId="0" numFmtId="10" xfId="0" applyAlignment="1" applyBorder="1" applyFont="1" applyNumberFormat="1">
      <alignment shrinkToFit="0" wrapText="0"/>
    </xf>
    <xf borderId="1" fillId="3" fontId="0" numFmtId="164" xfId="0" applyAlignment="1" applyBorder="1" applyFont="1" applyNumberFormat="1">
      <alignment shrinkToFit="0" wrapText="0"/>
    </xf>
    <xf borderId="1" fillId="3" fontId="0" numFmtId="9" xfId="0" applyAlignment="1" applyBorder="1" applyFont="1" applyNumberFormat="1">
      <alignment shrinkToFit="0" wrapText="0"/>
    </xf>
    <xf borderId="0" fillId="0" fontId="3" numFmtId="0" xfId="0" applyAlignment="1" applyFont="1">
      <alignment horizontal="center" shrinkToFit="0" wrapText="1"/>
    </xf>
    <xf borderId="1" fillId="2" fontId="3" numFmtId="0" xfId="0" applyAlignment="1" applyBorder="1" applyFont="1">
      <alignment horizontal="right" shrinkToFit="0" wrapText="1"/>
    </xf>
    <xf borderId="1" fillId="2" fontId="3" numFmtId="0" xfId="0" applyAlignment="1" applyBorder="1" applyFont="1">
      <alignment horizontal="right" shrinkToFit="0" wrapText="0"/>
    </xf>
    <xf borderId="1" fillId="3" fontId="0" numFmtId="165" xfId="0" applyAlignment="1" applyBorder="1" applyFont="1" applyNumberFormat="1">
      <alignment shrinkToFit="0" wrapText="0"/>
    </xf>
    <xf borderId="1" fillId="4" fontId="0" numFmtId="0" xfId="0" applyAlignment="1" applyBorder="1" applyFont="1">
      <alignment readingOrder="0" shrinkToFit="0" wrapText="0"/>
    </xf>
    <xf borderId="0" fillId="0" fontId="0" numFmtId="166" xfId="0" applyAlignment="1" applyFont="1" applyNumberFormat="1">
      <alignment shrinkToFit="0" wrapText="0"/>
    </xf>
    <xf borderId="0" fillId="0" fontId="0" numFmtId="165" xfId="0" applyAlignment="1" applyFont="1" applyNumberFormat="1">
      <alignment shrinkToFit="0" wrapText="0"/>
    </xf>
    <xf borderId="1" fillId="4" fontId="0" numFmtId="10" xfId="0" applyAlignment="1" applyBorder="1" applyFont="1" applyNumberFormat="1">
      <alignment shrinkToFit="0" wrapText="0"/>
    </xf>
    <xf borderId="0" fillId="0" fontId="0" numFmtId="9" xfId="0" applyAlignment="1" applyFont="1" applyNumberFormat="1">
      <alignment shrinkToFit="0" wrapText="0"/>
    </xf>
    <xf borderId="0" fillId="0" fontId="0" numFmtId="16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shrinkToFit="0" vertical="center" wrapText="0"/>
    </xf>
    <xf borderId="0" fillId="0" fontId="0" numFmtId="14" xfId="0" applyAlignment="1" applyFont="1" applyNumberFormat="1">
      <alignment horizontal="right" shrinkToFit="0" vertical="center" wrapText="0"/>
    </xf>
    <xf borderId="0" fillId="0" fontId="0" numFmtId="0" xfId="0" applyAlignment="1" applyFont="1">
      <alignment shrinkToFit="0" vertical="center" wrapText="0"/>
    </xf>
    <xf borderId="0" fillId="0" fontId="0" numFmtId="0" xfId="0" applyAlignment="1" applyFont="1">
      <alignment horizontal="right" shrinkToFit="0" vertical="center" wrapText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Weekly Pipeline Growth</a:t>
            </a:r>
          </a:p>
        </c:rich>
      </c:tx>
      <c:overlay val="0"/>
    </c:title>
    <c:plotArea>
      <c:layout>
        <c:manualLayout>
          <c:xMode val="edge"/>
          <c:yMode val="edge"/>
          <c:x val="0.08447462817147872"/>
          <c:y val="0.0514005540974045"/>
          <c:w val="0.8905253718285209"/>
          <c:h val="0.832619568387285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4F81B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Growth!$A$31:$A$46</c:f>
            </c:strRef>
          </c:cat>
          <c:val>
            <c:numRef>
              <c:f>Growth!$I$31:$I$46</c:f>
              <c:numCache/>
            </c:numRef>
          </c:val>
          <c:smooth val="0"/>
        </c:ser>
        <c:axId val="678519557"/>
        <c:axId val="1828375900"/>
      </c:lineChart>
      <c:catAx>
        <c:axId val="678519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8375900"/>
      </c:catAx>
      <c:valAx>
        <c:axId val="1828375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8519557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3</xdr:row>
      <xdr:rowOff>171450</xdr:rowOff>
    </xdr:from>
    <xdr:ext cx="8020050" cy="43624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2" width="14.29"/>
    <col customWidth="1" min="3" max="11" width="8.86"/>
    <col customWidth="1" min="12" max="12" width="11.0"/>
    <col customWidth="1" min="13" max="20" width="8.86"/>
  </cols>
  <sheetData>
    <row r="1" ht="31.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4" t="s">
        <v>2</v>
      </c>
      <c r="L1" s="5"/>
    </row>
    <row r="2" ht="15.0" customHeight="1">
      <c r="A2" s="5"/>
      <c r="B2" s="5"/>
      <c r="L2" s="5"/>
    </row>
    <row r="3" ht="15.0" customHeight="1">
      <c r="A3" s="6" t="s">
        <v>3</v>
      </c>
      <c r="B3" s="2"/>
      <c r="C3" s="2"/>
      <c r="D3" s="2"/>
      <c r="E3" s="2"/>
      <c r="L3" s="5"/>
    </row>
    <row r="4" ht="15.0" customHeight="1">
      <c r="A4" s="7" t="s">
        <v>4</v>
      </c>
      <c r="B4" s="8" t="s">
        <v>5</v>
      </c>
      <c r="C4" s="9"/>
      <c r="D4" s="9"/>
      <c r="F4" s="7"/>
      <c r="L4" s="5"/>
    </row>
    <row r="5" ht="15.0" customHeight="1">
      <c r="A5" s="9" t="s">
        <v>6</v>
      </c>
      <c r="B5" s="9"/>
      <c r="C5" s="9"/>
      <c r="D5" s="9"/>
      <c r="E5" s="5"/>
      <c r="F5" s="5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ht="15.0" customHeight="1">
      <c r="A6" s="5"/>
      <c r="B6" s="5"/>
      <c r="L6" s="5"/>
    </row>
    <row r="7" ht="15.0" customHeight="1">
      <c r="A7" s="6" t="s">
        <v>7</v>
      </c>
      <c r="B7" s="2"/>
      <c r="C7" s="2"/>
      <c r="D7" s="2"/>
      <c r="E7" s="2"/>
      <c r="L7" s="5"/>
    </row>
    <row r="8" ht="15.0" customHeight="1">
      <c r="A8" s="7" t="s">
        <v>4</v>
      </c>
      <c r="B8" s="8" t="s">
        <v>8</v>
      </c>
      <c r="C8" s="9"/>
      <c r="D8" s="9"/>
      <c r="E8" s="10"/>
      <c r="F8" s="7"/>
      <c r="L8" s="5"/>
    </row>
    <row r="9" ht="15.0" customHeight="1">
      <c r="A9" s="5" t="s">
        <v>6</v>
      </c>
      <c r="B9" s="9"/>
      <c r="C9" s="9"/>
      <c r="D9" s="9"/>
      <c r="L9" s="5"/>
    </row>
    <row r="10" ht="15.0" customHeight="1">
      <c r="A10" s="5"/>
      <c r="B10" s="5"/>
      <c r="L10" s="5"/>
    </row>
    <row r="11" ht="15.0" customHeight="1">
      <c r="A11" s="6" t="s">
        <v>9</v>
      </c>
      <c r="B11" s="2"/>
      <c r="C11" s="2"/>
      <c r="D11" s="2"/>
      <c r="E11" s="2"/>
      <c r="L11" s="5"/>
    </row>
    <row r="12" ht="15.0" customHeight="1">
      <c r="A12" s="7" t="s">
        <v>4</v>
      </c>
      <c r="B12" s="11" t="s">
        <v>10</v>
      </c>
      <c r="C12" s="7"/>
      <c r="D12" s="8"/>
      <c r="E12" s="10"/>
      <c r="F12" s="7"/>
      <c r="L12" s="5"/>
    </row>
    <row r="13" ht="15.0" customHeight="1">
      <c r="A13" s="5" t="s">
        <v>6</v>
      </c>
      <c r="B13" s="9"/>
      <c r="C13" s="9"/>
      <c r="D13" s="9"/>
      <c r="L13" s="5"/>
    </row>
    <row r="14" ht="15.0" customHeight="1">
      <c r="A14" s="5"/>
      <c r="B14" s="5"/>
      <c r="L14" s="5"/>
    </row>
    <row r="15" ht="15.0" customHeight="1">
      <c r="A15" s="6" t="s">
        <v>11</v>
      </c>
      <c r="B15" s="2"/>
      <c r="C15" s="2"/>
      <c r="D15" s="2"/>
      <c r="E15" s="2"/>
      <c r="L15" s="5"/>
    </row>
    <row r="16" ht="15.0" customHeight="1">
      <c r="A16" s="7" t="s">
        <v>4</v>
      </c>
      <c r="B16" s="8" t="s">
        <v>12</v>
      </c>
      <c r="C16" s="9"/>
      <c r="D16" s="9"/>
      <c r="E16" s="10"/>
      <c r="F16" s="7"/>
      <c r="L16" s="5"/>
    </row>
    <row r="17" ht="15.0" customHeight="1">
      <c r="A17" s="5" t="s">
        <v>6</v>
      </c>
      <c r="B17" s="9"/>
      <c r="C17" s="9"/>
      <c r="D17" s="9"/>
      <c r="E17" s="9"/>
      <c r="L17" s="5"/>
    </row>
    <row r="18" ht="15.0" customHeight="1">
      <c r="A18" s="5"/>
      <c r="B18" s="5"/>
      <c r="L18" s="5"/>
    </row>
    <row r="19" ht="15.0" customHeight="1">
      <c r="A19" s="6" t="s">
        <v>13</v>
      </c>
      <c r="B19" s="2"/>
      <c r="C19" s="2"/>
      <c r="D19" s="2"/>
      <c r="E19" s="2"/>
      <c r="L19" s="5"/>
    </row>
    <row r="20" ht="15.0" customHeight="1">
      <c r="A20" s="7" t="s">
        <v>4</v>
      </c>
      <c r="B20" s="8" t="s">
        <v>14</v>
      </c>
      <c r="C20" s="9"/>
      <c r="D20" s="9"/>
      <c r="E20" s="10"/>
      <c r="F20" s="7"/>
      <c r="L20" s="5"/>
    </row>
    <row r="21" ht="15.0" customHeight="1">
      <c r="A21" s="5" t="s">
        <v>6</v>
      </c>
      <c r="B21" s="9"/>
      <c r="C21" s="9"/>
      <c r="D21" s="9"/>
      <c r="L21" s="5"/>
    </row>
    <row r="22" ht="15.0" customHeight="1">
      <c r="A22" s="5"/>
      <c r="B22" s="5"/>
      <c r="L22" s="5"/>
    </row>
    <row r="23" ht="15.0" customHeight="1">
      <c r="A23" s="6" t="s">
        <v>15</v>
      </c>
      <c r="B23" s="2"/>
      <c r="C23" s="2"/>
      <c r="D23" s="2"/>
      <c r="E23" s="2"/>
      <c r="L23" s="5"/>
    </row>
    <row r="24" ht="15.0" customHeight="1">
      <c r="A24" s="7" t="s">
        <v>4</v>
      </c>
      <c r="B24" s="8" t="s">
        <v>16</v>
      </c>
      <c r="E24" s="10"/>
      <c r="F24" s="7"/>
      <c r="L24" s="5"/>
    </row>
    <row r="25" ht="15.0" customHeight="1">
      <c r="A25" s="5" t="s">
        <v>6</v>
      </c>
      <c r="B25" s="5"/>
      <c r="L25" s="5"/>
    </row>
    <row r="26" ht="15.0" customHeight="1">
      <c r="A26" s="5"/>
      <c r="B26" s="5"/>
      <c r="L26" s="5"/>
    </row>
    <row r="27" ht="15.0" customHeight="1">
      <c r="A27" s="5"/>
      <c r="B27" s="5"/>
      <c r="L27" s="5"/>
    </row>
    <row r="28" ht="30.0" customHeight="1">
      <c r="A28" s="5"/>
      <c r="B28" s="12" t="s">
        <v>17</v>
      </c>
      <c r="C28" s="13">
        <v>1.0E-4</v>
      </c>
      <c r="D28" s="14">
        <v>5.0E-4</v>
      </c>
      <c r="E28" s="15">
        <v>0.01</v>
      </c>
      <c r="F28" s="15">
        <v>0.03</v>
      </c>
      <c r="G28" s="15">
        <v>0.1</v>
      </c>
      <c r="H28" s="15">
        <v>1.0</v>
      </c>
      <c r="I28" s="16" t="s">
        <v>18</v>
      </c>
      <c r="J28" s="16" t="s">
        <v>19</v>
      </c>
      <c r="L28" s="5"/>
    </row>
    <row r="29" ht="15.0" customHeight="1">
      <c r="A29" s="5"/>
      <c r="B29" s="5"/>
      <c r="L29" s="5"/>
    </row>
    <row r="30" ht="30.0" customHeight="1">
      <c r="A30" s="17" t="s">
        <v>20</v>
      </c>
      <c r="B30" s="17" t="s">
        <v>21</v>
      </c>
      <c r="C30" s="18" t="s">
        <v>22</v>
      </c>
      <c r="D30" s="18" t="s">
        <v>23</v>
      </c>
      <c r="E30" s="18" t="s">
        <v>24</v>
      </c>
      <c r="F30" s="18" t="s">
        <v>25</v>
      </c>
      <c r="G30" s="18" t="s">
        <v>26</v>
      </c>
      <c r="H30" s="18" t="s">
        <v>27</v>
      </c>
      <c r="L30" s="17" t="s">
        <v>20</v>
      </c>
      <c r="M30" s="17" t="s">
        <v>21</v>
      </c>
      <c r="N30" s="18" t="s">
        <v>22</v>
      </c>
      <c r="O30" s="18" t="s">
        <v>23</v>
      </c>
      <c r="P30" s="18" t="s">
        <v>24</v>
      </c>
      <c r="Q30" s="18" t="s">
        <v>25</v>
      </c>
      <c r="R30" s="18" t="s">
        <v>26</v>
      </c>
      <c r="S30" s="18" t="s">
        <v>27</v>
      </c>
    </row>
    <row r="31" ht="15.0" customHeight="1">
      <c r="A31" s="19">
        <v>41931.0</v>
      </c>
      <c r="B31" s="5">
        <v>1.0</v>
      </c>
      <c r="C31" s="9">
        <v>1000.0</v>
      </c>
      <c r="D31" s="20">
        <v>136.0</v>
      </c>
      <c r="E31" s="9">
        <v>76.0</v>
      </c>
      <c r="F31" s="9">
        <v>69.0</v>
      </c>
      <c r="G31" s="9">
        <v>13.0</v>
      </c>
      <c r="H31" s="9">
        <v>0.0</v>
      </c>
      <c r="I31" s="21">
        <f t="shared" ref="I31:I46" si="3">SUMPRODUCT($C$28:$H$28,C31:H31)</f>
        <v>4.298</v>
      </c>
      <c r="L31" s="22">
        <f t="shared" ref="L31:M31" si="1">A31</f>
        <v>41931</v>
      </c>
      <c r="M31" s="5">
        <f t="shared" si="1"/>
        <v>1</v>
      </c>
      <c r="N31" s="23"/>
      <c r="O31" s="23">
        <f t="shared" ref="O31:S31" si="2">D31/C31</f>
        <v>0.136</v>
      </c>
      <c r="P31" s="23">
        <f t="shared" si="2"/>
        <v>0.5588235294</v>
      </c>
      <c r="Q31" s="23">
        <f t="shared" si="2"/>
        <v>0.9078947368</v>
      </c>
      <c r="R31" s="23">
        <f t="shared" si="2"/>
        <v>0.1884057971</v>
      </c>
      <c r="S31" s="23">
        <f t="shared" si="2"/>
        <v>0</v>
      </c>
    </row>
    <row r="32" ht="15.0" customHeight="1">
      <c r="A32" s="22">
        <v>41938.0</v>
      </c>
      <c r="B32" s="5">
        <f t="shared" ref="B32:B46" si="6">B31+1</f>
        <v>2</v>
      </c>
      <c r="C32" s="20">
        <v>1500.0</v>
      </c>
      <c r="D32" s="20">
        <v>155.0</v>
      </c>
      <c r="E32" s="20">
        <v>84.0</v>
      </c>
      <c r="F32" s="9">
        <v>0.0</v>
      </c>
      <c r="G32" s="20">
        <v>13.0</v>
      </c>
      <c r="H32" s="9">
        <v>0.0</v>
      </c>
      <c r="I32" s="21">
        <f t="shared" si="3"/>
        <v>2.3675</v>
      </c>
      <c r="J32" s="24">
        <f t="shared" ref="J32:J46" si="7">(I32-I31)/I31</f>
        <v>-0.4491624011</v>
      </c>
      <c r="L32" s="22">
        <f t="shared" ref="L32:M32" si="4">A32</f>
        <v>41938</v>
      </c>
      <c r="M32" s="5">
        <f t="shared" si="4"/>
        <v>2</v>
      </c>
      <c r="N32" s="2"/>
      <c r="O32" s="23">
        <f t="shared" ref="O32:S32" si="5">D32/C32</f>
        <v>0.1033333333</v>
      </c>
      <c r="P32" s="23">
        <f t="shared" si="5"/>
        <v>0.5419354839</v>
      </c>
      <c r="Q32" s="23">
        <f t="shared" si="5"/>
        <v>0</v>
      </c>
      <c r="R32" s="23" t="str">
        <f t="shared" si="5"/>
        <v>#DIV/0!</v>
      </c>
      <c r="S32" s="23">
        <f t="shared" si="5"/>
        <v>0</v>
      </c>
    </row>
    <row r="33" ht="15.0" customHeight="1">
      <c r="A33" s="22">
        <f t="shared" ref="A33:A46" si="10">A32+7</f>
        <v>41945</v>
      </c>
      <c r="B33" s="5">
        <f t="shared" si="6"/>
        <v>3</v>
      </c>
      <c r="C33" s="9">
        <v>0.0</v>
      </c>
      <c r="D33" s="9">
        <v>0.0</v>
      </c>
      <c r="E33" s="9">
        <v>0.0</v>
      </c>
      <c r="F33" s="9">
        <v>0.0</v>
      </c>
      <c r="G33" s="9">
        <v>0.0</v>
      </c>
      <c r="H33" s="9">
        <v>0.0</v>
      </c>
      <c r="I33" s="21">
        <f t="shared" si="3"/>
        <v>0</v>
      </c>
      <c r="J33" s="24">
        <f t="shared" si="7"/>
        <v>-1</v>
      </c>
      <c r="L33" s="22">
        <f t="shared" ref="L33:M33" si="8">A33</f>
        <v>41945</v>
      </c>
      <c r="M33" s="5">
        <f t="shared" si="8"/>
        <v>3</v>
      </c>
      <c r="N33" s="2"/>
      <c r="O33" s="23" t="str">
        <f t="shared" ref="O33:S33" si="9">D33/C33</f>
        <v>#DIV/0!</v>
      </c>
      <c r="P33" s="23" t="str">
        <f t="shared" si="9"/>
        <v>#DIV/0!</v>
      </c>
      <c r="Q33" s="23" t="str">
        <f t="shared" si="9"/>
        <v>#DIV/0!</v>
      </c>
      <c r="R33" s="23" t="str">
        <f t="shared" si="9"/>
        <v>#DIV/0!</v>
      </c>
      <c r="S33" s="23" t="str">
        <f t="shared" si="9"/>
        <v>#DIV/0!</v>
      </c>
    </row>
    <row r="34" ht="15.0" customHeight="1">
      <c r="A34" s="22">
        <f t="shared" si="10"/>
        <v>41952</v>
      </c>
      <c r="B34" s="5">
        <f t="shared" si="6"/>
        <v>4</v>
      </c>
      <c r="C34" s="9">
        <v>0.0</v>
      </c>
      <c r="D34" s="9">
        <v>0.0</v>
      </c>
      <c r="E34" s="9">
        <v>0.0</v>
      </c>
      <c r="F34" s="9">
        <v>0.0</v>
      </c>
      <c r="G34" s="9">
        <v>0.0</v>
      </c>
      <c r="H34" s="9">
        <v>0.0</v>
      </c>
      <c r="I34" s="21">
        <f t="shared" si="3"/>
        <v>0</v>
      </c>
      <c r="J34" s="24" t="str">
        <f t="shared" si="7"/>
        <v>#DIV/0!</v>
      </c>
      <c r="L34" s="22">
        <f t="shared" ref="L34:M34" si="11">A34</f>
        <v>41952</v>
      </c>
      <c r="M34" s="5">
        <f t="shared" si="11"/>
        <v>4</v>
      </c>
      <c r="N34" s="2"/>
      <c r="O34" s="23" t="str">
        <f t="shared" ref="O34:S34" si="12">D34/C34</f>
        <v>#DIV/0!</v>
      </c>
      <c r="P34" s="23" t="str">
        <f t="shared" si="12"/>
        <v>#DIV/0!</v>
      </c>
      <c r="Q34" s="23" t="str">
        <f t="shared" si="12"/>
        <v>#DIV/0!</v>
      </c>
      <c r="R34" s="23" t="str">
        <f t="shared" si="12"/>
        <v>#DIV/0!</v>
      </c>
      <c r="S34" s="23" t="str">
        <f t="shared" si="12"/>
        <v>#DIV/0!</v>
      </c>
    </row>
    <row r="35" ht="15.0" customHeight="1">
      <c r="A35" s="22">
        <f t="shared" si="10"/>
        <v>41959</v>
      </c>
      <c r="B35" s="5">
        <f t="shared" si="6"/>
        <v>5</v>
      </c>
      <c r="C35" s="9">
        <v>0.0</v>
      </c>
      <c r="D35" s="9">
        <v>0.0</v>
      </c>
      <c r="E35" s="9">
        <v>0.0</v>
      </c>
      <c r="F35" s="9">
        <v>0.0</v>
      </c>
      <c r="G35" s="9">
        <v>0.0</v>
      </c>
      <c r="H35" s="9">
        <v>0.0</v>
      </c>
      <c r="I35" s="21">
        <f t="shared" si="3"/>
        <v>0</v>
      </c>
      <c r="J35" s="24" t="str">
        <f t="shared" si="7"/>
        <v>#DIV/0!</v>
      </c>
      <c r="L35" s="22">
        <f t="shared" ref="L35:M35" si="13">A35</f>
        <v>41959</v>
      </c>
      <c r="M35" s="5">
        <f t="shared" si="13"/>
        <v>5</v>
      </c>
      <c r="N35" s="2"/>
      <c r="O35" s="23" t="str">
        <f t="shared" ref="O35:S35" si="14">D35/C35</f>
        <v>#DIV/0!</v>
      </c>
      <c r="P35" s="23" t="str">
        <f t="shared" si="14"/>
        <v>#DIV/0!</v>
      </c>
      <c r="Q35" s="23" t="str">
        <f t="shared" si="14"/>
        <v>#DIV/0!</v>
      </c>
      <c r="R35" s="23" t="str">
        <f t="shared" si="14"/>
        <v>#DIV/0!</v>
      </c>
      <c r="S35" s="23" t="str">
        <f t="shared" si="14"/>
        <v>#DIV/0!</v>
      </c>
    </row>
    <row r="36" ht="15.0" customHeight="1">
      <c r="A36" s="22">
        <f t="shared" si="10"/>
        <v>41966</v>
      </c>
      <c r="B36" s="5">
        <f t="shared" si="6"/>
        <v>6</v>
      </c>
      <c r="C36" s="9">
        <v>0.0</v>
      </c>
      <c r="D36" s="9">
        <v>0.0</v>
      </c>
      <c r="E36" s="9">
        <v>0.0</v>
      </c>
      <c r="F36" s="9">
        <v>0.0</v>
      </c>
      <c r="G36" s="9">
        <v>0.0</v>
      </c>
      <c r="H36" s="9">
        <v>0.0</v>
      </c>
      <c r="I36" s="21">
        <f t="shared" si="3"/>
        <v>0</v>
      </c>
      <c r="J36" s="24" t="str">
        <f t="shared" si="7"/>
        <v>#DIV/0!</v>
      </c>
      <c r="L36" s="22">
        <f t="shared" ref="L36:M36" si="15">A36</f>
        <v>41966</v>
      </c>
      <c r="M36" s="5">
        <f t="shared" si="15"/>
        <v>6</v>
      </c>
      <c r="N36" s="2"/>
      <c r="O36" s="23" t="str">
        <f t="shared" ref="O36:S36" si="16">D36/C36</f>
        <v>#DIV/0!</v>
      </c>
      <c r="P36" s="23" t="str">
        <f t="shared" si="16"/>
        <v>#DIV/0!</v>
      </c>
      <c r="Q36" s="23" t="str">
        <f t="shared" si="16"/>
        <v>#DIV/0!</v>
      </c>
      <c r="R36" s="23" t="str">
        <f t="shared" si="16"/>
        <v>#DIV/0!</v>
      </c>
      <c r="S36" s="23" t="str">
        <f t="shared" si="16"/>
        <v>#DIV/0!</v>
      </c>
    </row>
    <row r="37" ht="15.0" customHeight="1">
      <c r="A37" s="22">
        <f t="shared" si="10"/>
        <v>41973</v>
      </c>
      <c r="B37" s="5">
        <f t="shared" si="6"/>
        <v>7</v>
      </c>
      <c r="C37" s="9">
        <v>0.0</v>
      </c>
      <c r="D37" s="9">
        <v>0.0</v>
      </c>
      <c r="E37" s="9">
        <v>0.0</v>
      </c>
      <c r="F37" s="9">
        <v>0.0</v>
      </c>
      <c r="G37" s="9">
        <v>0.0</v>
      </c>
      <c r="H37" s="9">
        <v>0.0</v>
      </c>
      <c r="I37" s="21">
        <f t="shared" si="3"/>
        <v>0</v>
      </c>
      <c r="J37" s="24" t="str">
        <f t="shared" si="7"/>
        <v>#DIV/0!</v>
      </c>
      <c r="L37" s="22">
        <f t="shared" ref="L37:M37" si="17">A37</f>
        <v>41973</v>
      </c>
      <c r="M37" s="5">
        <f t="shared" si="17"/>
        <v>7</v>
      </c>
      <c r="N37" s="2"/>
      <c r="O37" s="23" t="str">
        <f t="shared" ref="O37:S37" si="18">D37/C37</f>
        <v>#DIV/0!</v>
      </c>
      <c r="P37" s="23" t="str">
        <f t="shared" si="18"/>
        <v>#DIV/0!</v>
      </c>
      <c r="Q37" s="23" t="str">
        <f t="shared" si="18"/>
        <v>#DIV/0!</v>
      </c>
      <c r="R37" s="23" t="str">
        <f t="shared" si="18"/>
        <v>#DIV/0!</v>
      </c>
      <c r="S37" s="23" t="str">
        <f t="shared" si="18"/>
        <v>#DIV/0!</v>
      </c>
    </row>
    <row r="38" ht="15.0" customHeight="1">
      <c r="A38" s="22">
        <f t="shared" si="10"/>
        <v>41980</v>
      </c>
      <c r="B38" s="5">
        <f t="shared" si="6"/>
        <v>8</v>
      </c>
      <c r="C38" s="9">
        <v>0.0</v>
      </c>
      <c r="D38" s="9">
        <v>0.0</v>
      </c>
      <c r="E38" s="9">
        <v>0.0</v>
      </c>
      <c r="F38" s="9">
        <v>0.0</v>
      </c>
      <c r="G38" s="9">
        <v>0.0</v>
      </c>
      <c r="H38" s="9">
        <v>0.0</v>
      </c>
      <c r="I38" s="21">
        <f t="shared" si="3"/>
        <v>0</v>
      </c>
      <c r="J38" s="24" t="str">
        <f t="shared" si="7"/>
        <v>#DIV/0!</v>
      </c>
      <c r="L38" s="22">
        <f t="shared" ref="L38:M38" si="19">A38</f>
        <v>41980</v>
      </c>
      <c r="M38" s="5">
        <f t="shared" si="19"/>
        <v>8</v>
      </c>
      <c r="N38" s="2"/>
      <c r="O38" s="23" t="str">
        <f t="shared" ref="O38:S38" si="20">D38/C38</f>
        <v>#DIV/0!</v>
      </c>
      <c r="P38" s="23" t="str">
        <f t="shared" si="20"/>
        <v>#DIV/0!</v>
      </c>
      <c r="Q38" s="23" t="str">
        <f t="shared" si="20"/>
        <v>#DIV/0!</v>
      </c>
      <c r="R38" s="23" t="str">
        <f t="shared" si="20"/>
        <v>#DIV/0!</v>
      </c>
      <c r="S38" s="23" t="str">
        <f t="shared" si="20"/>
        <v>#DIV/0!</v>
      </c>
    </row>
    <row r="39" ht="15.0" customHeight="1">
      <c r="A39" s="22">
        <f t="shared" si="10"/>
        <v>41987</v>
      </c>
      <c r="B39" s="5">
        <f t="shared" si="6"/>
        <v>9</v>
      </c>
      <c r="C39" s="9">
        <v>0.0</v>
      </c>
      <c r="D39" s="9">
        <v>0.0</v>
      </c>
      <c r="E39" s="9">
        <v>0.0</v>
      </c>
      <c r="F39" s="9">
        <v>0.0</v>
      </c>
      <c r="G39" s="9">
        <v>0.0</v>
      </c>
      <c r="H39" s="9">
        <v>0.0</v>
      </c>
      <c r="I39" s="21">
        <f t="shared" si="3"/>
        <v>0</v>
      </c>
      <c r="J39" s="24" t="str">
        <f t="shared" si="7"/>
        <v>#DIV/0!</v>
      </c>
      <c r="L39" s="22">
        <f t="shared" ref="L39:M39" si="21">A39</f>
        <v>41987</v>
      </c>
      <c r="M39" s="5">
        <f t="shared" si="21"/>
        <v>9</v>
      </c>
      <c r="N39" s="2"/>
      <c r="O39" s="23" t="str">
        <f t="shared" ref="O39:S39" si="22">D39/C39</f>
        <v>#DIV/0!</v>
      </c>
      <c r="P39" s="23" t="str">
        <f t="shared" si="22"/>
        <v>#DIV/0!</v>
      </c>
      <c r="Q39" s="23" t="str">
        <f t="shared" si="22"/>
        <v>#DIV/0!</v>
      </c>
      <c r="R39" s="23" t="str">
        <f t="shared" si="22"/>
        <v>#DIV/0!</v>
      </c>
      <c r="S39" s="23" t="str">
        <f t="shared" si="22"/>
        <v>#DIV/0!</v>
      </c>
    </row>
    <row r="40" ht="15.0" customHeight="1">
      <c r="A40" s="22">
        <f t="shared" si="10"/>
        <v>41994</v>
      </c>
      <c r="B40" s="5">
        <f t="shared" si="6"/>
        <v>10</v>
      </c>
      <c r="C40" s="9">
        <v>0.0</v>
      </c>
      <c r="D40" s="9">
        <v>0.0</v>
      </c>
      <c r="E40" s="9">
        <v>0.0</v>
      </c>
      <c r="F40" s="9">
        <v>0.0</v>
      </c>
      <c r="G40" s="9">
        <v>0.0</v>
      </c>
      <c r="H40" s="9">
        <v>0.0</v>
      </c>
      <c r="I40" s="21">
        <f t="shared" si="3"/>
        <v>0</v>
      </c>
      <c r="J40" s="24" t="str">
        <f t="shared" si="7"/>
        <v>#DIV/0!</v>
      </c>
      <c r="L40" s="22">
        <f t="shared" ref="L40:M40" si="23">A40</f>
        <v>41994</v>
      </c>
      <c r="M40" s="5">
        <f t="shared" si="23"/>
        <v>10</v>
      </c>
      <c r="N40" s="2"/>
      <c r="O40" s="23" t="str">
        <f t="shared" ref="O40:S40" si="24">D40/C40</f>
        <v>#DIV/0!</v>
      </c>
      <c r="P40" s="23" t="str">
        <f t="shared" si="24"/>
        <v>#DIV/0!</v>
      </c>
      <c r="Q40" s="23" t="str">
        <f t="shared" si="24"/>
        <v>#DIV/0!</v>
      </c>
      <c r="R40" s="23" t="str">
        <f t="shared" si="24"/>
        <v>#DIV/0!</v>
      </c>
      <c r="S40" s="23" t="str">
        <f t="shared" si="24"/>
        <v>#DIV/0!</v>
      </c>
    </row>
    <row r="41" ht="15.0" customHeight="1">
      <c r="A41" s="22">
        <f t="shared" si="10"/>
        <v>42001</v>
      </c>
      <c r="B41" s="5">
        <f t="shared" si="6"/>
        <v>11</v>
      </c>
      <c r="C41" s="9">
        <v>0.0</v>
      </c>
      <c r="D41" s="9">
        <v>0.0</v>
      </c>
      <c r="E41" s="9">
        <v>0.0</v>
      </c>
      <c r="F41" s="9">
        <v>0.0</v>
      </c>
      <c r="G41" s="9">
        <v>0.0</v>
      </c>
      <c r="H41" s="9">
        <v>0.0</v>
      </c>
      <c r="I41" s="21">
        <f t="shared" si="3"/>
        <v>0</v>
      </c>
      <c r="J41" s="24" t="str">
        <f t="shared" si="7"/>
        <v>#DIV/0!</v>
      </c>
      <c r="L41" s="22">
        <f t="shared" ref="L41:M41" si="25">A41</f>
        <v>42001</v>
      </c>
      <c r="M41" s="5">
        <f t="shared" si="25"/>
        <v>11</v>
      </c>
      <c r="N41" s="2"/>
      <c r="O41" s="23" t="str">
        <f t="shared" ref="O41:S41" si="26">D41/C41</f>
        <v>#DIV/0!</v>
      </c>
      <c r="P41" s="23" t="str">
        <f t="shared" si="26"/>
        <v>#DIV/0!</v>
      </c>
      <c r="Q41" s="23" t="str">
        <f t="shared" si="26"/>
        <v>#DIV/0!</v>
      </c>
      <c r="R41" s="23" t="str">
        <f t="shared" si="26"/>
        <v>#DIV/0!</v>
      </c>
      <c r="S41" s="23" t="str">
        <f t="shared" si="26"/>
        <v>#DIV/0!</v>
      </c>
    </row>
    <row r="42" ht="15.0" customHeight="1">
      <c r="A42" s="22">
        <f t="shared" si="10"/>
        <v>42008</v>
      </c>
      <c r="B42" s="5">
        <f t="shared" si="6"/>
        <v>12</v>
      </c>
      <c r="C42" s="9">
        <v>0.0</v>
      </c>
      <c r="D42" s="9">
        <v>0.0</v>
      </c>
      <c r="E42" s="9">
        <v>0.0</v>
      </c>
      <c r="F42" s="9">
        <v>0.0</v>
      </c>
      <c r="G42" s="9">
        <v>0.0</v>
      </c>
      <c r="H42" s="9">
        <v>0.0</v>
      </c>
      <c r="I42" s="21">
        <f t="shared" si="3"/>
        <v>0</v>
      </c>
      <c r="J42" s="24" t="str">
        <f t="shared" si="7"/>
        <v>#DIV/0!</v>
      </c>
      <c r="L42" s="22">
        <f t="shared" ref="L42:M42" si="27">A42</f>
        <v>42008</v>
      </c>
      <c r="M42" s="5">
        <f t="shared" si="27"/>
        <v>12</v>
      </c>
      <c r="N42" s="2"/>
      <c r="O42" s="23" t="str">
        <f t="shared" ref="O42:S42" si="28">D42/C42</f>
        <v>#DIV/0!</v>
      </c>
      <c r="P42" s="23" t="str">
        <f t="shared" si="28"/>
        <v>#DIV/0!</v>
      </c>
      <c r="Q42" s="23" t="str">
        <f t="shared" si="28"/>
        <v>#DIV/0!</v>
      </c>
      <c r="R42" s="23" t="str">
        <f t="shared" si="28"/>
        <v>#DIV/0!</v>
      </c>
      <c r="S42" s="23" t="str">
        <f t="shared" si="28"/>
        <v>#DIV/0!</v>
      </c>
    </row>
    <row r="43" ht="15.0" customHeight="1">
      <c r="A43" s="22">
        <f t="shared" si="10"/>
        <v>42015</v>
      </c>
      <c r="B43" s="5">
        <f t="shared" si="6"/>
        <v>13</v>
      </c>
      <c r="C43" s="9">
        <v>0.0</v>
      </c>
      <c r="D43" s="9">
        <v>0.0</v>
      </c>
      <c r="E43" s="9">
        <v>0.0</v>
      </c>
      <c r="F43" s="9">
        <v>0.0</v>
      </c>
      <c r="G43" s="9">
        <v>0.0</v>
      </c>
      <c r="H43" s="9">
        <v>0.0</v>
      </c>
      <c r="I43" s="21">
        <f t="shared" si="3"/>
        <v>0</v>
      </c>
      <c r="J43" s="24" t="str">
        <f t="shared" si="7"/>
        <v>#DIV/0!</v>
      </c>
      <c r="L43" s="22">
        <f t="shared" ref="L43:M43" si="29">A43</f>
        <v>42015</v>
      </c>
      <c r="M43" s="5">
        <f t="shared" si="29"/>
        <v>13</v>
      </c>
      <c r="N43" s="2"/>
      <c r="O43" s="23" t="str">
        <f t="shared" ref="O43:S43" si="30">D43/C43</f>
        <v>#DIV/0!</v>
      </c>
      <c r="P43" s="23" t="str">
        <f t="shared" si="30"/>
        <v>#DIV/0!</v>
      </c>
      <c r="Q43" s="23" t="str">
        <f t="shared" si="30"/>
        <v>#DIV/0!</v>
      </c>
      <c r="R43" s="23" t="str">
        <f t="shared" si="30"/>
        <v>#DIV/0!</v>
      </c>
      <c r="S43" s="23" t="str">
        <f t="shared" si="30"/>
        <v>#DIV/0!</v>
      </c>
    </row>
    <row r="44" ht="15.0" customHeight="1">
      <c r="A44" s="22">
        <f t="shared" si="10"/>
        <v>42022</v>
      </c>
      <c r="B44" s="5">
        <f t="shared" si="6"/>
        <v>14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  <c r="H44" s="9">
        <v>0.0</v>
      </c>
      <c r="I44" s="21">
        <f t="shared" si="3"/>
        <v>0</v>
      </c>
      <c r="J44" s="24" t="str">
        <f t="shared" si="7"/>
        <v>#DIV/0!</v>
      </c>
      <c r="L44" s="22">
        <f t="shared" ref="L44:M44" si="31">A44</f>
        <v>42022</v>
      </c>
      <c r="M44" s="5">
        <f t="shared" si="31"/>
        <v>14</v>
      </c>
      <c r="N44" s="2"/>
      <c r="O44" s="23" t="str">
        <f t="shared" ref="O44:S44" si="32">D44/C44</f>
        <v>#DIV/0!</v>
      </c>
      <c r="P44" s="23" t="str">
        <f t="shared" si="32"/>
        <v>#DIV/0!</v>
      </c>
      <c r="Q44" s="23" t="str">
        <f t="shared" si="32"/>
        <v>#DIV/0!</v>
      </c>
      <c r="R44" s="23" t="str">
        <f t="shared" si="32"/>
        <v>#DIV/0!</v>
      </c>
      <c r="S44" s="23" t="str">
        <f t="shared" si="32"/>
        <v>#DIV/0!</v>
      </c>
    </row>
    <row r="45" ht="15.0" customHeight="1">
      <c r="A45" s="22">
        <f t="shared" si="10"/>
        <v>42029</v>
      </c>
      <c r="B45" s="5">
        <f t="shared" si="6"/>
        <v>15</v>
      </c>
      <c r="C45" s="9">
        <v>0.0</v>
      </c>
      <c r="D45" s="9">
        <v>0.0</v>
      </c>
      <c r="E45" s="9">
        <v>0.0</v>
      </c>
      <c r="F45" s="9">
        <v>0.0</v>
      </c>
      <c r="G45" s="9">
        <v>0.0</v>
      </c>
      <c r="H45" s="9">
        <v>0.0</v>
      </c>
      <c r="I45" s="21">
        <f t="shared" si="3"/>
        <v>0</v>
      </c>
      <c r="J45" s="24" t="str">
        <f t="shared" si="7"/>
        <v>#DIV/0!</v>
      </c>
      <c r="L45" s="22">
        <f t="shared" ref="L45:M45" si="33">A45</f>
        <v>42029</v>
      </c>
      <c r="M45" s="5">
        <f t="shared" si="33"/>
        <v>15</v>
      </c>
      <c r="N45" s="2"/>
      <c r="O45" s="23" t="str">
        <f t="shared" ref="O45:S45" si="34">D45/C45</f>
        <v>#DIV/0!</v>
      </c>
      <c r="P45" s="23" t="str">
        <f t="shared" si="34"/>
        <v>#DIV/0!</v>
      </c>
      <c r="Q45" s="23" t="str">
        <f t="shared" si="34"/>
        <v>#DIV/0!</v>
      </c>
      <c r="R45" s="23" t="str">
        <f t="shared" si="34"/>
        <v>#DIV/0!</v>
      </c>
      <c r="S45" s="23" t="str">
        <f t="shared" si="34"/>
        <v>#DIV/0!</v>
      </c>
    </row>
    <row r="46" ht="15.0" customHeight="1">
      <c r="A46" s="22">
        <f t="shared" si="10"/>
        <v>42036</v>
      </c>
      <c r="B46" s="5">
        <f t="shared" si="6"/>
        <v>16</v>
      </c>
      <c r="C46" s="9">
        <v>0.0</v>
      </c>
      <c r="D46" s="9">
        <v>0.0</v>
      </c>
      <c r="E46" s="9">
        <v>0.0</v>
      </c>
      <c r="F46" s="9">
        <v>0.0</v>
      </c>
      <c r="G46" s="9">
        <v>0.0</v>
      </c>
      <c r="H46" s="9">
        <v>0.0</v>
      </c>
      <c r="I46" s="21">
        <f t="shared" si="3"/>
        <v>0</v>
      </c>
      <c r="J46" s="24" t="str">
        <f t="shared" si="7"/>
        <v>#DIV/0!</v>
      </c>
      <c r="L46" s="22">
        <f t="shared" ref="L46:M46" si="35">A46</f>
        <v>42036</v>
      </c>
      <c r="M46" s="5">
        <f t="shared" si="35"/>
        <v>16</v>
      </c>
      <c r="N46" s="2"/>
      <c r="O46" s="23" t="str">
        <f t="shared" ref="O46:S46" si="36">D46/C46</f>
        <v>#DIV/0!</v>
      </c>
      <c r="P46" s="23" t="str">
        <f t="shared" si="36"/>
        <v>#DIV/0!</v>
      </c>
      <c r="Q46" s="23" t="str">
        <f t="shared" si="36"/>
        <v>#DIV/0!</v>
      </c>
      <c r="R46" s="23" t="str">
        <f t="shared" si="36"/>
        <v>#DIV/0!</v>
      </c>
      <c r="S46" s="23" t="str">
        <f t="shared" si="36"/>
        <v>#DIV/0!</v>
      </c>
    </row>
  </sheetData>
  <conditionalFormatting sqref="J32">
    <cfRule type="cellIs" dxfId="0" priority="1" operator="lessThan">
      <formula>0.05</formula>
    </cfRule>
  </conditionalFormatting>
  <conditionalFormatting sqref="J33">
    <cfRule type="cellIs" dxfId="0" priority="2" operator="lessThan">
      <formula>0.05</formula>
    </cfRule>
  </conditionalFormatting>
  <conditionalFormatting sqref="J34">
    <cfRule type="cellIs" dxfId="0" priority="3" operator="lessThan">
      <formula>0.05</formula>
    </cfRule>
  </conditionalFormatting>
  <conditionalFormatting sqref="J35:J41">
    <cfRule type="cellIs" dxfId="0" priority="4" operator="lessThan">
      <formula>0.05</formula>
    </cfRule>
  </conditionalFormatting>
  <conditionalFormatting sqref="J42:J46">
    <cfRule type="cellIs" dxfId="0" priority="5" operator="lessThan">
      <formula>0.05</formula>
    </cfRule>
  </conditionalFormatting>
  <conditionalFormatting sqref="O32">
    <cfRule type="cellIs" dxfId="0" priority="6" operator="lessThan">
      <formula>O31</formula>
    </cfRule>
  </conditionalFormatting>
  <conditionalFormatting sqref="O33:O46">
    <cfRule type="cellIs" dxfId="0" priority="7" operator="lessThan">
      <formula>O32</formula>
    </cfRule>
  </conditionalFormatting>
  <conditionalFormatting sqref="P32">
    <cfRule type="cellIs" dxfId="0" priority="8" operator="lessThan">
      <formula>P31</formula>
    </cfRule>
  </conditionalFormatting>
  <conditionalFormatting sqref="P33:P46">
    <cfRule type="cellIs" dxfId="0" priority="9" operator="lessThan">
      <formula>P32</formula>
    </cfRule>
  </conditionalFormatting>
  <conditionalFormatting sqref="Q32">
    <cfRule type="cellIs" dxfId="0" priority="10" operator="lessThan">
      <formula>Q31</formula>
    </cfRule>
  </conditionalFormatting>
  <conditionalFormatting sqref="Q33:Q46">
    <cfRule type="cellIs" dxfId="0" priority="11" operator="lessThan">
      <formula>Q32</formula>
    </cfRule>
  </conditionalFormatting>
  <conditionalFormatting sqref="R32">
    <cfRule type="cellIs" dxfId="0" priority="12" operator="lessThan">
      <formula>R31</formula>
    </cfRule>
  </conditionalFormatting>
  <conditionalFormatting sqref="R33:R46">
    <cfRule type="cellIs" dxfId="0" priority="13" operator="lessThan">
      <formula>R32</formula>
    </cfRule>
  </conditionalFormatting>
  <conditionalFormatting sqref="S32">
    <cfRule type="cellIs" dxfId="0" priority="14" operator="lessThan">
      <formula>S31</formula>
    </cfRule>
  </conditionalFormatting>
  <conditionalFormatting sqref="S33:S46">
    <cfRule type="cellIs" dxfId="0" priority="15" operator="lessThan">
      <formula>S32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0.14"/>
    <col customWidth="1" min="2" max="2" width="24.43"/>
    <col customWidth="1" min="3" max="3" width="7.71"/>
    <col customWidth="1" min="4" max="4" width="6.14"/>
    <col customWidth="1" min="5" max="5" width="11.86"/>
    <col customWidth="1" min="6" max="6" width="8.71"/>
  </cols>
  <sheetData>
    <row r="1" ht="15.0" customHeight="1">
      <c r="A1" s="5"/>
      <c r="B1" s="5"/>
      <c r="C1" s="5"/>
      <c r="D1" s="5"/>
      <c r="E1" s="5"/>
    </row>
    <row r="2" ht="15.0" customHeight="1">
      <c r="A2" s="25"/>
      <c r="B2" s="5"/>
      <c r="C2" s="5"/>
      <c r="D2" s="5"/>
      <c r="E2" s="5"/>
    </row>
    <row r="3" ht="15.0" customHeight="1">
      <c r="A3" s="5"/>
      <c r="B3" s="5"/>
      <c r="C3" s="5"/>
      <c r="D3" s="5"/>
      <c r="E3" s="5"/>
    </row>
    <row r="4" ht="15.0" customHeight="1">
      <c r="A4" s="5"/>
      <c r="B4" s="5"/>
      <c r="C4" s="5"/>
      <c r="D4" s="5"/>
      <c r="E4" s="5"/>
    </row>
    <row r="5" ht="15.0" customHeight="1">
      <c r="A5" s="5"/>
      <c r="B5" s="5"/>
      <c r="C5" s="5"/>
      <c r="D5" s="5"/>
      <c r="E5" s="5"/>
    </row>
    <row r="6" ht="15.0" customHeight="1">
      <c r="A6" s="26"/>
      <c r="B6" s="26"/>
      <c r="C6" s="27"/>
      <c r="D6" s="27"/>
      <c r="E6" s="26"/>
    </row>
    <row r="7" ht="15.0" customHeight="1">
      <c r="A7" s="28"/>
      <c r="B7" s="29"/>
      <c r="C7" s="30"/>
      <c r="D7" s="30"/>
      <c r="E7" s="5"/>
      <c r="F7" s="29"/>
    </row>
    <row r="8" ht="15.0" customHeight="1">
      <c r="A8" s="26"/>
      <c r="B8" s="29"/>
      <c r="C8" s="30"/>
      <c r="D8" s="30"/>
      <c r="E8" s="26"/>
    </row>
    <row r="9" ht="15.0" customHeight="1">
      <c r="A9" s="26"/>
      <c r="B9" s="26"/>
      <c r="C9" s="26"/>
      <c r="D9" s="26"/>
      <c r="E9" s="26"/>
    </row>
    <row r="10" ht="15.0" customHeight="1">
      <c r="A10" s="28"/>
      <c r="B10" s="29"/>
      <c r="C10" s="30"/>
      <c r="D10" s="30"/>
      <c r="E10" s="26"/>
    </row>
    <row r="11" ht="15.0" customHeight="1">
      <c r="A11" s="26"/>
      <c r="B11" s="29"/>
      <c r="C11" s="30"/>
      <c r="D11" s="30"/>
      <c r="E11" s="26"/>
    </row>
    <row r="12" ht="15.0" customHeight="1">
      <c r="A12" s="5"/>
      <c r="B12" s="5"/>
      <c r="C12" s="5"/>
      <c r="D12" s="5"/>
      <c r="E12" s="5"/>
    </row>
    <row r="13" ht="15.0" customHeight="1">
      <c r="A13" s="5"/>
      <c r="B13" s="5"/>
      <c r="C13" s="5"/>
      <c r="D13" s="5"/>
      <c r="E13" s="5"/>
    </row>
    <row r="14" ht="15.0" customHeight="1">
      <c r="A14" s="5"/>
      <c r="B14" s="5"/>
      <c r="C14" s="5"/>
      <c r="D14" s="5"/>
      <c r="E14" s="5"/>
    </row>
    <row r="15" ht="15.0" customHeight="1">
      <c r="A15" s="5"/>
      <c r="B15" s="5"/>
      <c r="C15" s="5"/>
      <c r="D15" s="5"/>
      <c r="E15" s="5"/>
    </row>
    <row r="16" ht="15.0" customHeight="1">
      <c r="A16" s="5"/>
      <c r="B16" s="5"/>
      <c r="C16" s="5"/>
      <c r="D16" s="5"/>
      <c r="E16" s="5"/>
    </row>
    <row r="17" ht="15.0" customHeight="1">
      <c r="A17" s="5"/>
      <c r="B17" s="5"/>
      <c r="C17" s="5"/>
      <c r="D17" s="5"/>
      <c r="E17" s="5"/>
    </row>
    <row r="18" ht="15.0" customHeight="1">
      <c r="A18" s="5"/>
      <c r="B18" s="5"/>
      <c r="C18" s="5"/>
      <c r="D18" s="5"/>
      <c r="E18" s="5"/>
    </row>
    <row r="19" ht="15.0" customHeight="1">
      <c r="A19" s="5"/>
      <c r="B19" s="5"/>
      <c r="C19" s="5"/>
      <c r="D19" s="5"/>
      <c r="E19" s="5"/>
    </row>
    <row r="20" ht="15.0" customHeight="1">
      <c r="A20" s="5"/>
      <c r="B20" s="5"/>
      <c r="C20" s="5"/>
      <c r="D20" s="5"/>
      <c r="E2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6" width="8.71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